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ei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Data>
    <row r="1">
      <c r="A1" t="str">
        <v>Situação</v>
      </c>
      <c r="B1" t="str">
        <v>Categoria</v>
      </c>
      <c r="C1" t="str">
        <v>Data Vencimento</v>
      </c>
      <c r="D1" t="str">
        <v>Data Pagamento</v>
      </c>
      <c r="E1" t="str">
        <v>Descrição</v>
      </c>
      <c r="F1" t="str">
        <v>Parcelas</v>
      </c>
      <c r="G1" t="str">
        <v>Tipo</v>
      </c>
      <c r="H1" t="str">
        <v>Nota Fiscal</v>
      </c>
      <c r="I1" t="str">
        <v>Banco</v>
      </c>
      <c r="J1" t="str">
        <v>Valor</v>
      </c>
      <c r="K1" t="str">
        <v>Juros</v>
      </c>
      <c r="L1" t="str">
        <v>Desconto</v>
      </c>
      <c r="M1" t="str">
        <v>Valor Total</v>
      </c>
    </row>
    <row r="2">
      <c r="A2" t="str">
        <v>PAGO</v>
      </c>
      <c r="B2" t="str">
        <v>TESTE</v>
      </c>
      <c r="C2" t="str">
        <v>20/08/2026</v>
      </c>
      <c r="D2" t="str">
        <v>20/08/2026</v>
      </c>
      <c r="E2" t="str">
        <v>VENDA #1</v>
      </c>
      <c r="F2" t="str">
        <v>1 de 1</v>
      </c>
      <c r="G2" t="str">
        <v>RECEITA</v>
      </c>
      <c r="H2" t="str">
        <v/>
      </c>
      <c r="I2" t="str">
        <v/>
      </c>
      <c r="J2">
        <v>6000</v>
      </c>
      <c r="K2">
        <v>0</v>
      </c>
      <c r="L2">
        <v>0</v>
      </c>
      <c r="M2">
        <v>6000</v>
      </c>
    </row>
    <row r="3">
      <c r="A3" t="str">
        <v>ABERTO</v>
      </c>
      <c r="B3" t="str">
        <v>VEICULO</v>
      </c>
      <c r="C3" t="str">
        <v>21/08/2026</v>
      </c>
      <c r="D3" t="str">
        <v/>
      </c>
      <c r="E3" t="str">
        <v>NOVO</v>
      </c>
      <c r="F3" t="str">
        <v>1 de 2</v>
      </c>
      <c r="G3" t="str">
        <v>DESPESA</v>
      </c>
      <c r="H3" t="str">
        <v/>
      </c>
      <c r="I3" t="str">
        <v/>
      </c>
      <c r="J3">
        <v>50</v>
      </c>
      <c r="K3">
        <v>0</v>
      </c>
      <c r="L3">
        <v>0</v>
      </c>
      <c r="M3">
        <v>50</v>
      </c>
    </row>
    <row r="4">
      <c r="A4" t="str">
        <v>ABERTO</v>
      </c>
      <c r="B4" t="str">
        <v>DESPESA</v>
      </c>
      <c r="C4" t="str">
        <v>24/08/2026</v>
      </c>
      <c r="D4" t="str">
        <v/>
      </c>
      <c r="E4" t="str">
        <v>DIVIDO POR SAFRA</v>
      </c>
      <c r="F4" t="str">
        <v>1 de 1</v>
      </c>
      <c r="G4" t="str">
        <v>DESPESA</v>
      </c>
      <c r="H4" t="str">
        <v/>
      </c>
      <c r="I4" t="str">
        <v/>
      </c>
      <c r="J4">
        <v>100</v>
      </c>
      <c r="K4">
        <v>0</v>
      </c>
      <c r="L4">
        <v>0</v>
      </c>
      <c r="M4">
        <v>100</v>
      </c>
    </row>
    <row r="5">
      <c r="A5" t="str">
        <v>ABERTO</v>
      </c>
      <c r="B5" t="str">
        <v>DESPESA</v>
      </c>
      <c r="C5" t="str">
        <v>26/08/2026</v>
      </c>
      <c r="D5" t="str">
        <v/>
      </c>
      <c r="E5" t="str">
        <v>TROCA DE GALÃO</v>
      </c>
      <c r="F5" t="str">
        <v>1 de 1</v>
      </c>
      <c r="G5" t="str">
        <v>DESPESA</v>
      </c>
      <c r="H5" t="str">
        <v/>
      </c>
      <c r="I5" t="str">
        <v/>
      </c>
      <c r="J5">
        <v>49</v>
      </c>
      <c r="K5">
        <v>10</v>
      </c>
      <c r="L5">
        <v>0</v>
      </c>
      <c r="M5">
        <v>59</v>
      </c>
    </row>
    <row r="6">
      <c r="A6" t="str">
        <v>PAGO</v>
      </c>
      <c r="B6" t="str">
        <v>DESPESA</v>
      </c>
      <c r="C6" t="str">
        <v>26/08/2026</v>
      </c>
      <c r="D6" t="str">
        <v>26/08/2026</v>
      </c>
      <c r="E6" t="str">
        <v>DUAS MOVI</v>
      </c>
      <c r="F6" t="str">
        <v>1 de 2</v>
      </c>
      <c r="G6" t="str">
        <v>DESPESA</v>
      </c>
      <c r="H6" t="str">
        <v/>
      </c>
      <c r="I6" t="str">
        <v>CONTA NOME</v>
      </c>
      <c r="J6">
        <v>100</v>
      </c>
      <c r="K6">
        <v>0</v>
      </c>
      <c r="L6">
        <v>0</v>
      </c>
      <c r="M6">
        <v>100</v>
      </c>
    </row>
    <row r="7">
      <c r="A7" t="str">
        <v>PAGO</v>
      </c>
      <c r="B7" t="str">
        <v>DESPESA</v>
      </c>
      <c r="C7" t="str">
        <v>26/08/2026</v>
      </c>
      <c r="D7" t="str">
        <v>26/08/2026</v>
      </c>
      <c r="E7" t="str">
        <v>ATA - Nº #2 - SAFRA SAFRA 2026/2026 - CAFÉ</v>
      </c>
      <c r="F7" t="str">
        <v>1 de 1</v>
      </c>
      <c r="G7" t="str">
        <v>DESPESA</v>
      </c>
      <c r="H7" t="str">
        <v/>
      </c>
      <c r="I7" t="str">
        <v/>
      </c>
      <c r="J7">
        <v>107417.67</v>
      </c>
      <c r="K7">
        <v>0</v>
      </c>
      <c r="L7">
        <v>0</v>
      </c>
      <c r="M7">
        <v>107417.67</v>
      </c>
    </row>
    <row r="8">
      <c r="A8" t="str">
        <v>PAGO</v>
      </c>
      <c r="B8" t="str">
        <v>DESPESA</v>
      </c>
      <c r="C8" t="str">
        <v>26/08/2026</v>
      </c>
      <c r="D8" t="str">
        <v>26/08/2026</v>
      </c>
      <c r="E8" t="str">
        <v>ATA - Nº #2 - SAFRA SAFRA 2026/2026 - MORANGO</v>
      </c>
      <c r="F8" t="str">
        <v>1 de 1</v>
      </c>
      <c r="G8" t="str">
        <v>DESPESA</v>
      </c>
      <c r="H8" t="str">
        <v/>
      </c>
      <c r="I8" t="str">
        <v/>
      </c>
      <c r="J8">
        <v>432.82</v>
      </c>
      <c r="K8">
        <v>0</v>
      </c>
      <c r="L8">
        <v>0</v>
      </c>
      <c r="M8">
        <v>432.82</v>
      </c>
    </row>
    <row r="9">
      <c r="A9" t="str">
        <v>PAGO</v>
      </c>
      <c r="B9" t="str">
        <v>DESPESA</v>
      </c>
      <c r="C9" t="str">
        <v>26/08/2026</v>
      </c>
      <c r="D9" t="str">
        <v>26/08/2026</v>
      </c>
      <c r="E9" t="str">
        <v>ATA - Nº #2 - SAFRA SAFRA 2026/2026 - CAFÉ</v>
      </c>
      <c r="F9" t="str">
        <v>1 de 1</v>
      </c>
      <c r="G9" t="str">
        <v>DESPESA</v>
      </c>
      <c r="H9" t="str">
        <v/>
      </c>
      <c r="I9" t="str">
        <v/>
      </c>
      <c r="J9">
        <v>948.21</v>
      </c>
      <c r="K9">
        <v>0</v>
      </c>
      <c r="L9">
        <v>0</v>
      </c>
      <c r="M9">
        <v>948.21</v>
      </c>
    </row>
    <row r="10">
      <c r="A10" t="str">
        <v>ABERTO</v>
      </c>
      <c r="B10" t="str">
        <v>DESPESA</v>
      </c>
      <c r="C10" t="str">
        <v>27/08/2026</v>
      </c>
      <c r="D10" t="str">
        <v/>
      </c>
      <c r="E10" t="str">
        <v>TROCA DE GALÃO</v>
      </c>
      <c r="F10" t="str">
        <v>1 de 1</v>
      </c>
      <c r="G10" t="str">
        <v>DESPESA</v>
      </c>
      <c r="H10" t="str">
        <v/>
      </c>
      <c r="I10" t="str">
        <v/>
      </c>
      <c r="J10">
        <v>2.22</v>
      </c>
      <c r="K10">
        <v>0</v>
      </c>
      <c r="L10">
        <v>0</v>
      </c>
      <c r="M10">
        <v>2.22</v>
      </c>
    </row>
    <row r="11">
      <c r="A11" t="str">
        <v>ABERTO</v>
      </c>
      <c r="B11" t="str">
        <v>DESPESA</v>
      </c>
      <c r="C11" t="str">
        <v>27/08/2026</v>
      </c>
      <c r="D11" t="str">
        <v/>
      </c>
      <c r="E11" t="str">
        <v>TROCA DE GALÃO</v>
      </c>
      <c r="F11" t="str">
        <v>1 de 1</v>
      </c>
      <c r="G11" t="str">
        <v>DESPESA</v>
      </c>
      <c r="H11" t="str">
        <v/>
      </c>
      <c r="I11" t="str">
        <v/>
      </c>
      <c r="J11">
        <v>2.22</v>
      </c>
      <c r="K11">
        <v>0</v>
      </c>
      <c r="L11">
        <v>0</v>
      </c>
      <c r="M11">
        <v>2.22</v>
      </c>
    </row>
    <row r="12">
      <c r="A12" t="str">
        <v>ABERTO</v>
      </c>
      <c r="B12" t="str">
        <v>TES =D</v>
      </c>
      <c r="C12" t="str">
        <v>10/09/2026</v>
      </c>
      <c r="D12" t="str">
        <v/>
      </c>
      <c r="E12" t="str">
        <v>ZXVC</v>
      </c>
      <c r="F12" t="str">
        <v>1 de 1</v>
      </c>
      <c r="G12" t="str">
        <v>DESPESA</v>
      </c>
      <c r="H12" t="str">
        <v/>
      </c>
      <c r="I12" t="str">
        <v/>
      </c>
      <c r="J12">
        <v>34.93</v>
      </c>
      <c r="K12">
        <v>0</v>
      </c>
      <c r="L12">
        <v>0</v>
      </c>
      <c r="M12">
        <v>34.93</v>
      </c>
    </row>
    <row r="13">
      <c r="A13" t="str">
        <v>ABERTO</v>
      </c>
      <c r="B13" t="str">
        <v>TESTE · DESPESA</v>
      </c>
      <c r="C13" t="str">
        <v>10/09/2026</v>
      </c>
      <c r="D13" t="str">
        <v/>
      </c>
      <c r="E13" t="str">
        <v>ASDAS</v>
      </c>
      <c r="F13" t="str">
        <v>1 de 1</v>
      </c>
      <c r="G13" t="str">
        <v>DESPESA</v>
      </c>
      <c r="H13" t="str">
        <v/>
      </c>
      <c r="I13" t="str">
        <v/>
      </c>
      <c r="J13">
        <v>12.42</v>
      </c>
      <c r="K13">
        <v>0</v>
      </c>
      <c r="L13">
        <v>0</v>
      </c>
      <c r="M13">
        <v>12.42</v>
      </c>
    </row>
    <row r="14">
      <c r="A14" t="str">
        <v>ABERTO</v>
      </c>
      <c r="B14" t="str">
        <v>TES =D</v>
      </c>
      <c r="C14" t="str">
        <v>11/09/2026</v>
      </c>
      <c r="D14" t="str">
        <v/>
      </c>
      <c r="E14" t="str">
        <v>455</v>
      </c>
      <c r="F14" t="str">
        <v>1 de 1</v>
      </c>
      <c r="G14" t="str">
        <v>DESPESA</v>
      </c>
      <c r="H14" t="str">
        <v/>
      </c>
      <c r="I14" t="str">
        <v>CONTA NOME</v>
      </c>
      <c r="J14">
        <v>34.44</v>
      </c>
      <c r="K14">
        <v>0</v>
      </c>
      <c r="L14">
        <v>0</v>
      </c>
      <c r="M14">
        <v>34.44</v>
      </c>
    </row>
    <row r="15">
      <c r="A15" t="str">
        <v>ABERTO</v>
      </c>
      <c r="B15" t="str">
        <v>TES =D</v>
      </c>
      <c r="C15" t="str">
        <v>11/09/2026</v>
      </c>
      <c r="D15" t="str">
        <v/>
      </c>
      <c r="E15" t="str">
        <v>455</v>
      </c>
      <c r="F15" t="str">
        <v>1 de 1</v>
      </c>
      <c r="G15" t="str">
        <v>DESPESA</v>
      </c>
      <c r="H15" t="str">
        <v/>
      </c>
      <c r="I15" t="str">
        <v/>
      </c>
      <c r="J15">
        <v>34.44</v>
      </c>
      <c r="K15">
        <v>0</v>
      </c>
      <c r="L15">
        <v>0</v>
      </c>
      <c r="M15">
        <v>34.44</v>
      </c>
    </row>
    <row r="16">
      <c r="A16" t="str">
        <v>ABERTO</v>
      </c>
      <c r="B16" t="str">
        <v>TES =D</v>
      </c>
      <c r="C16" t="str">
        <v>11/09/2026</v>
      </c>
      <c r="D16" t="str">
        <v/>
      </c>
      <c r="E16" t="str">
        <v>455</v>
      </c>
      <c r="F16" t="str">
        <v>1 de 1</v>
      </c>
      <c r="G16" t="str">
        <v>DESPESA</v>
      </c>
      <c r="H16" t="str">
        <v/>
      </c>
      <c r="I16" t="str">
        <v>CONTA NOME</v>
      </c>
      <c r="J16">
        <v>137.76</v>
      </c>
      <c r="K16">
        <v>0</v>
      </c>
      <c r="L16">
        <v>0</v>
      </c>
      <c r="M16">
        <v>137.76</v>
      </c>
    </row>
    <row r="17">
      <c r="A17" t="str">
        <v>ABERTO</v>
      </c>
      <c r="B17" t="str">
        <v>TES =D</v>
      </c>
      <c r="C17" t="str">
        <v>11/09/2026</v>
      </c>
      <c r="D17" t="str">
        <v/>
      </c>
      <c r="E17" t="str">
        <v>455</v>
      </c>
      <c r="F17" t="str">
        <v>1 de 1</v>
      </c>
      <c r="G17" t="str">
        <v>DESPESA</v>
      </c>
      <c r="H17" t="str">
        <v/>
      </c>
      <c r="I17" t="str">
        <v/>
      </c>
      <c r="J17">
        <v>34.44</v>
      </c>
      <c r="K17">
        <v>0</v>
      </c>
      <c r="L17">
        <v>0</v>
      </c>
      <c r="M17">
        <v>34.44</v>
      </c>
    </row>
    <row r="18">
      <c r="A18" t="str">
        <v>ABERTO</v>
      </c>
      <c r="B18" t="str">
        <v>TES =D</v>
      </c>
      <c r="C18" t="str">
        <v>11/09/2026</v>
      </c>
      <c r="D18" t="str">
        <v/>
      </c>
      <c r="E18" t="str">
        <v>455</v>
      </c>
      <c r="F18" t="str">
        <v>1 de 1</v>
      </c>
      <c r="G18" t="str">
        <v>DESPESA</v>
      </c>
      <c r="H18" t="str">
        <v/>
      </c>
      <c r="I18" t="str">
        <v/>
      </c>
      <c r="J18">
        <v>34.44</v>
      </c>
      <c r="K18">
        <v>0</v>
      </c>
      <c r="L18">
        <v>0</v>
      </c>
      <c r="M18">
        <v>34.44</v>
      </c>
    </row>
    <row r="19">
      <c r="A19" t="str">
        <v>ABERTO</v>
      </c>
      <c r="B19" t="str">
        <v>DESPESA</v>
      </c>
      <c r="C19" t="str">
        <v>14/09/2026</v>
      </c>
      <c r="D19" t="str">
        <v/>
      </c>
      <c r="E19" t="str">
        <v>Entrada de Estoque #1</v>
      </c>
      <c r="F19" t="str">
        <v>1 de 1</v>
      </c>
      <c r="G19" t="str">
        <v>DESPESA</v>
      </c>
      <c r="H19" t="str">
        <v/>
      </c>
      <c r="I19" t="str">
        <v/>
      </c>
      <c r="J19">
        <v>16</v>
      </c>
      <c r="K19">
        <v>0</v>
      </c>
      <c r="L19">
        <v>0</v>
      </c>
      <c r="M19">
        <v>16</v>
      </c>
    </row>
    <row r="20">
      <c r="A20" t="str">
        <v>ABERTO</v>
      </c>
      <c r="B20" t="str">
        <v>DESPESA</v>
      </c>
      <c r="C20" t="str">
        <v>15/09/2026</v>
      </c>
      <c r="D20" t="str">
        <v/>
      </c>
      <c r="E20" t="str">
        <v>POSSIVEL BUG</v>
      </c>
      <c r="F20" t="str">
        <v>1 de 1</v>
      </c>
      <c r="G20" t="str">
        <v>DESPESA</v>
      </c>
      <c r="H20" t="str">
        <v/>
      </c>
      <c r="I20" t="str">
        <v/>
      </c>
      <c r="J20">
        <v>20</v>
      </c>
      <c r="K20">
        <v>0</v>
      </c>
      <c r="L20">
        <v>0</v>
      </c>
      <c r="M20">
        <v>20</v>
      </c>
    </row>
    <row r="21">
      <c r="A21" t="str">
        <v>ABERTO</v>
      </c>
      <c r="B21" t="str">
        <v>DESPESA</v>
      </c>
      <c r="C21" t="str">
        <v>15/09/2026</v>
      </c>
      <c r="D21" t="str">
        <v/>
      </c>
      <c r="E21" t="str">
        <v>ENTRADA DE ESTOQUE</v>
      </c>
      <c r="F21" t="str">
        <v>1 de 1</v>
      </c>
      <c r="G21" t="str">
        <v>DESPESA</v>
      </c>
      <c r="H21" t="str">
        <v/>
      </c>
      <c r="I21" t="str">
        <v>CONTA NOME</v>
      </c>
      <c r="J21">
        <v>5.86</v>
      </c>
      <c r="K21">
        <v>0</v>
      </c>
      <c r="L21">
        <v>0</v>
      </c>
      <c r="M21">
        <v>5.86</v>
      </c>
    </row>
    <row r="22">
      <c r="A22" t="str">
        <v>ABERTO</v>
      </c>
      <c r="B22" t="str">
        <v xml:space="preserve">RECEITA </v>
      </c>
      <c r="C22" t="str">
        <v>15/09/2026</v>
      </c>
      <c r="D22" t="str">
        <v/>
      </c>
      <c r="E22" t="str">
        <v>CLIENTE</v>
      </c>
      <c r="F22" t="str">
        <v>1 de 1</v>
      </c>
      <c r="G22" t="str">
        <v>RECEITA</v>
      </c>
      <c r="H22" t="str">
        <v/>
      </c>
      <c r="I22" t="str">
        <v/>
      </c>
      <c r="J22">
        <v>2424.45</v>
      </c>
      <c r="K22">
        <v>0</v>
      </c>
      <c r="L22">
        <v>0</v>
      </c>
      <c r="M22">
        <v>2424.45</v>
      </c>
    </row>
    <row r="23">
      <c r="A23" t="str">
        <v>ABERTO</v>
      </c>
      <c r="B23" t="str">
        <v>TES =D</v>
      </c>
      <c r="C23" t="str">
        <v>15/09/2026</v>
      </c>
      <c r="D23" t="str">
        <v/>
      </c>
      <c r="E23" t="str">
        <v>FORNECEDOR</v>
      </c>
      <c r="F23" t="str">
        <v>1 de 1</v>
      </c>
      <c r="G23" t="str">
        <v>DESPESA</v>
      </c>
      <c r="H23" t="str">
        <v/>
      </c>
      <c r="I23" t="str">
        <v/>
      </c>
      <c r="J23">
        <v>2000</v>
      </c>
      <c r="K23">
        <v>0</v>
      </c>
      <c r="L23">
        <v>0</v>
      </c>
      <c r="M23">
        <v>2000</v>
      </c>
    </row>
    <row r="24">
      <c r="A24" t="str">
        <v>ABERTO</v>
      </c>
      <c r="B24" t="str">
        <v>DESPESA</v>
      </c>
      <c r="C24" t="str">
        <v>15/09/2026</v>
      </c>
      <c r="D24" t="str">
        <v/>
      </c>
      <c r="E24" t="str">
        <v>TESTE NOVO</v>
      </c>
      <c r="F24" t="str">
        <v>1 de 1</v>
      </c>
      <c r="G24" t="str">
        <v>DESPESA</v>
      </c>
      <c r="H24" t="str">
        <v/>
      </c>
      <c r="I24" t="str">
        <v/>
      </c>
      <c r="J24">
        <v>40</v>
      </c>
      <c r="K24">
        <v>0</v>
      </c>
      <c r="L24">
        <v>0</v>
      </c>
      <c r="M24">
        <v>40</v>
      </c>
    </row>
    <row r="25">
      <c r="A25" t="str">
        <v>PAGO</v>
      </c>
      <c r="B25" t="str">
        <v>DESPESA</v>
      </c>
      <c r="C25" t="str">
        <v>15/09/2026</v>
      </c>
      <c r="D25" t="str">
        <v>15/09/2026</v>
      </c>
      <c r="E25" t="str">
        <v>TESTEEE</v>
      </c>
      <c r="F25" t="str">
        <v>1 de 1</v>
      </c>
      <c r="G25" t="str">
        <v>DESPESA</v>
      </c>
      <c r="H25" t="str">
        <v/>
      </c>
      <c r="I25" t="str">
        <v/>
      </c>
      <c r="J25">
        <v>242.42</v>
      </c>
      <c r="K25">
        <v>0</v>
      </c>
      <c r="L25">
        <v>0</v>
      </c>
      <c r="M25">
        <v>242.42</v>
      </c>
    </row>
    <row r="26">
      <c r="A26" t="str">
        <v>ABERTO</v>
      </c>
      <c r="B26" t="str">
        <v>DESPESA</v>
      </c>
      <c r="C26" t="str">
        <v>16/09/2026</v>
      </c>
      <c r="D26" t="str">
        <v/>
      </c>
      <c r="E26" t="str">
        <v>10000</v>
      </c>
      <c r="F26" t="str">
        <v>1 de 3</v>
      </c>
      <c r="G26" t="str">
        <v>DESPESA</v>
      </c>
      <c r="H26" t="str">
        <v/>
      </c>
      <c r="I26" t="str">
        <v/>
      </c>
      <c r="J26">
        <v>333.33</v>
      </c>
      <c r="K26">
        <v>0</v>
      </c>
      <c r="L26">
        <v>0</v>
      </c>
      <c r="M26">
        <v>333.33</v>
      </c>
    </row>
    <row r="27">
      <c r="A27" t="str">
        <v>ABERTO</v>
      </c>
      <c r="B27" t="str">
        <v>TES =D</v>
      </c>
      <c r="C27" t="str">
        <v>16/09/2026</v>
      </c>
      <c r="D27" t="str">
        <v/>
      </c>
      <c r="E27" t="str">
        <v>RATEADO</v>
      </c>
      <c r="F27" t="str">
        <v>1 de 1</v>
      </c>
      <c r="G27" t="str">
        <v>DESPESA</v>
      </c>
      <c r="H27" t="str">
        <v/>
      </c>
      <c r="I27" t="str">
        <v/>
      </c>
      <c r="J27">
        <v>100</v>
      </c>
      <c r="K27">
        <v>10</v>
      </c>
      <c r="L27">
        <v>0</v>
      </c>
      <c r="M27">
        <v>110</v>
      </c>
    </row>
    <row r="28">
      <c r="A28" t="str">
        <v>ABERTO</v>
      </c>
      <c r="B28" t="str">
        <v>DESPESA</v>
      </c>
      <c r="C28" t="str">
        <v>16/09/2026</v>
      </c>
      <c r="D28" t="str">
        <v/>
      </c>
      <c r="E28" t="str">
        <v>DOIS</v>
      </c>
      <c r="F28" t="str">
        <v>1 de 1</v>
      </c>
      <c r="G28" t="str">
        <v>DESPESA</v>
      </c>
      <c r="H28" t="str">
        <v/>
      </c>
      <c r="I28" t="str">
        <v/>
      </c>
      <c r="J28">
        <v>20</v>
      </c>
      <c r="K28">
        <v>0</v>
      </c>
      <c r="L28">
        <v>0</v>
      </c>
      <c r="M28">
        <v>20</v>
      </c>
    </row>
    <row r="29">
      <c r="A29" t="str">
        <v>ABERTO</v>
      </c>
      <c r="B29" t="str">
        <v>VEICULO</v>
      </c>
      <c r="C29" t="str">
        <v>21/09/2026</v>
      </c>
      <c r="D29" t="str">
        <v/>
      </c>
      <c r="E29" t="str">
        <v>NOVO</v>
      </c>
      <c r="F29" t="str">
        <v>2 de 2</v>
      </c>
      <c r="G29" t="str">
        <v>DESPESA</v>
      </c>
      <c r="H29" t="str">
        <v/>
      </c>
      <c r="I29" t="str">
        <v>ATA</v>
      </c>
      <c r="J29">
        <v>50</v>
      </c>
      <c r="K29">
        <v>0</v>
      </c>
      <c r="L29">
        <v>0</v>
      </c>
      <c r="M29">
        <v>50</v>
      </c>
    </row>
    <row r="30">
      <c r="A30" t="str">
        <v>ABERTO</v>
      </c>
      <c r="B30" t="str">
        <v>VEICULO</v>
      </c>
      <c r="C30" t="str">
        <v>25/09/2026</v>
      </c>
      <c r="D30" t="str">
        <v/>
      </c>
      <c r="E30" t="str">
        <v>MUITAS PARCELAS</v>
      </c>
      <c r="F30" t="str">
        <v>1 de 25</v>
      </c>
      <c r="G30" t="str">
        <v>DESPESA</v>
      </c>
      <c r="H30" t="str">
        <v/>
      </c>
      <c r="I30" t="str">
        <v/>
      </c>
      <c r="J30">
        <v>800</v>
      </c>
      <c r="K30">
        <v>0</v>
      </c>
      <c r="L30">
        <v>0</v>
      </c>
      <c r="M30">
        <v>800</v>
      </c>
    </row>
    <row r="31">
      <c r="A31" t="str">
        <v>PAGO</v>
      </c>
      <c r="B31" t="str">
        <v>DESPESA</v>
      </c>
      <c r="C31" t="str">
        <v>26/09/2026</v>
      </c>
      <c r="D31" t="str">
        <v>26/09/2026</v>
      </c>
      <c r="E31" t="str">
        <v>DUAS MOVI</v>
      </c>
      <c r="F31" t="str">
        <v>2 de 2</v>
      </c>
      <c r="G31" t="str">
        <v>DESPESA</v>
      </c>
      <c r="H31" t="str">
        <v/>
      </c>
      <c r="I31" t="str">
        <v>ATA</v>
      </c>
      <c r="J31">
        <v>100</v>
      </c>
      <c r="K31">
        <v>0</v>
      </c>
      <c r="L31">
        <v>0</v>
      </c>
      <c r="M31">
        <v>100</v>
      </c>
    </row>
    <row r="32">
      <c r="A32" t="str">
        <v>ABERTO</v>
      </c>
      <c r="B32" t="str">
        <v>VENDA DE MUDAS</v>
      </c>
      <c r="C32" t="str">
        <v>28/09/2026</v>
      </c>
      <c r="D32" t="str">
        <v/>
      </c>
      <c r="E32" t="str">
        <v>VENDA AVULSA R-001 · AAA</v>
      </c>
      <c r="F32" t="str">
        <v>1 de 1</v>
      </c>
      <c r="G32" t="str">
        <v>RECEITA</v>
      </c>
      <c r="H32" t="str">
        <v/>
      </c>
      <c r="I32" t="str">
        <v/>
      </c>
      <c r="J32">
        <v>400</v>
      </c>
      <c r="K32">
        <v>0</v>
      </c>
      <c r="L32">
        <v>0</v>
      </c>
      <c r="M32">
        <v>400</v>
      </c>
    </row>
    <row r="33">
      <c r="A33" t="str">
        <v>PAGO</v>
      </c>
      <c r="B33" t="str">
        <v xml:space="preserve">RECEITA </v>
      </c>
      <c r="C33" t="str">
        <v>30/09/2026</v>
      </c>
      <c r="D33" t="str">
        <v>28/09/2026</v>
      </c>
      <c r="E33" t="str">
        <v>PEDIDO P-001 · TESTE</v>
      </c>
      <c r="F33" t="str">
        <v>2 de 2</v>
      </c>
      <c r="G33" t="str">
        <v>RECEITA</v>
      </c>
      <c r="H33" t="str">
        <v/>
      </c>
      <c r="I33" t="str">
        <v/>
      </c>
      <c r="J33">
        <v>1260000</v>
      </c>
      <c r="K33">
        <v>0</v>
      </c>
      <c r="L33">
        <v>0</v>
      </c>
      <c r="M33">
        <v>1260000</v>
      </c>
    </row>
    <row r="34">
      <c r="A34" t="str">
        <v>PAGO</v>
      </c>
      <c r="B34" t="str">
        <v xml:space="preserve">RECEITA </v>
      </c>
      <c r="C34" t="str">
        <v>27/09/2026</v>
      </c>
      <c r="D34" t="str">
        <v>28/09/2026</v>
      </c>
      <c r="E34" t="str">
        <v>PEDIDO P-001 · TESTE</v>
      </c>
      <c r="F34" t="str">
        <v>1 de 2</v>
      </c>
      <c r="G34" t="str">
        <v>RECEITA</v>
      </c>
      <c r="H34" t="str">
        <v/>
      </c>
      <c r="I34" t="str">
        <v/>
      </c>
      <c r="J34">
        <v>1260000</v>
      </c>
      <c r="K34">
        <v>0</v>
      </c>
      <c r="L34">
        <v>0</v>
      </c>
      <c r="M34">
        <v>1260000</v>
      </c>
    </row>
    <row r="35">
      <c r="A35" t="str">
        <v>ABERTO</v>
      </c>
      <c r="B35" t="str">
        <v>TES =D</v>
      </c>
      <c r="C35" t="str">
        <v>30/09/2026</v>
      </c>
      <c r="D35" t="str">
        <v/>
      </c>
      <c r="E35" t="str">
        <v>ENTRADA DE ESTOQUE</v>
      </c>
      <c r="F35" t="str">
        <v>1 de 1</v>
      </c>
      <c r="G35" t="str">
        <v>DESPESA</v>
      </c>
      <c r="H35" t="str">
        <v/>
      </c>
      <c r="I35" t="str">
        <v/>
      </c>
      <c r="J35">
        <v>0.43</v>
      </c>
      <c r="K35">
        <v>0</v>
      </c>
      <c r="L35">
        <v>0</v>
      </c>
      <c r="M35">
        <v>0.43</v>
      </c>
    </row>
    <row r="36">
      <c r="A36" t="str">
        <v>ABERTO</v>
      </c>
      <c r="B36" t="str">
        <v>ATA</v>
      </c>
      <c r="C36" t="str">
        <v>05/10/2026</v>
      </c>
      <c r="D36" t="str">
        <v/>
      </c>
      <c r="E36" t="str">
        <v>ATA</v>
      </c>
      <c r="F36" t="str">
        <v>1 de 1</v>
      </c>
      <c r="G36" t="str">
        <v>RECEITA</v>
      </c>
      <c r="H36" t="str">
        <v/>
      </c>
      <c r="I36" t="str">
        <v/>
      </c>
      <c r="J36">
        <v>20</v>
      </c>
      <c r="K36">
        <v>0</v>
      </c>
      <c r="L36">
        <v>0</v>
      </c>
      <c r="M36">
        <v>20</v>
      </c>
    </row>
    <row r="37">
      <c r="A37" t="str">
        <v>ABERTO</v>
      </c>
      <c r="B37" t="str">
        <v>DESPESA</v>
      </c>
      <c r="C37" t="str">
        <v>16/10/2026</v>
      </c>
      <c r="D37" t="str">
        <v/>
      </c>
      <c r="E37" t="str">
        <v>10000</v>
      </c>
      <c r="F37" t="str">
        <v>2 de 3</v>
      </c>
      <c r="G37" t="str">
        <v>DESPESA</v>
      </c>
      <c r="H37" t="str">
        <v/>
      </c>
      <c r="I37" t="str">
        <v/>
      </c>
      <c r="J37">
        <v>333.33</v>
      </c>
      <c r="K37">
        <v>0</v>
      </c>
      <c r="L37">
        <v>0</v>
      </c>
      <c r="M37">
        <v>333.33</v>
      </c>
    </row>
    <row r="38">
      <c r="A38" t="str">
        <v>ABERTO</v>
      </c>
      <c r="B38" t="str">
        <v>VEICULO</v>
      </c>
      <c r="C38" t="str">
        <v>25/10/2026</v>
      </c>
      <c r="D38" t="str">
        <v/>
      </c>
      <c r="E38" t="str">
        <v>MUITAS PARCELAS</v>
      </c>
      <c r="F38" t="str">
        <v>2 de 25</v>
      </c>
      <c r="G38" t="str">
        <v>DESPESA</v>
      </c>
      <c r="H38" t="str">
        <v/>
      </c>
      <c r="I38" t="str">
        <v/>
      </c>
      <c r="J38">
        <v>800</v>
      </c>
      <c r="K38">
        <v>0</v>
      </c>
      <c r="L38">
        <v>0</v>
      </c>
      <c r="M38">
        <v>800</v>
      </c>
    </row>
    <row r="39">
      <c r="A39" t="str">
        <v>ABERTO</v>
      </c>
      <c r="B39" t="str">
        <v>DESPESA</v>
      </c>
      <c r="C39" t="str">
        <v>16/11/2026</v>
      </c>
      <c r="D39" t="str">
        <v/>
      </c>
      <c r="E39" t="str">
        <v>10000</v>
      </c>
      <c r="F39" t="str">
        <v>3 de 3</v>
      </c>
      <c r="G39" t="str">
        <v>DESPESA</v>
      </c>
      <c r="H39" t="str">
        <v/>
      </c>
      <c r="I39" t="str">
        <v/>
      </c>
      <c r="J39">
        <v>333.33</v>
      </c>
      <c r="K39">
        <v>0</v>
      </c>
      <c r="L39">
        <v>0</v>
      </c>
      <c r="M39">
        <v>333.33</v>
      </c>
    </row>
    <row r="40">
      <c r="A40" t="str">
        <v>ABERTO</v>
      </c>
      <c r="B40" t="str">
        <v>VEICULO</v>
      </c>
      <c r="C40" t="str">
        <v>25/11/2026</v>
      </c>
      <c r="D40" t="str">
        <v/>
      </c>
      <c r="E40" t="str">
        <v>MUITAS PARCELAS</v>
      </c>
      <c r="F40" t="str">
        <v>3 de 25</v>
      </c>
      <c r="G40" t="str">
        <v>DESPESA</v>
      </c>
      <c r="H40" t="str">
        <v/>
      </c>
      <c r="I40" t="str">
        <v/>
      </c>
      <c r="J40">
        <v>800</v>
      </c>
      <c r="K40">
        <v>0</v>
      </c>
      <c r="L40">
        <v>0</v>
      </c>
      <c r="M40">
        <v>800</v>
      </c>
    </row>
    <row r="41">
      <c r="A41" t="str">
        <v>ABERTO</v>
      </c>
      <c r="B41" t="str">
        <v>VEICULO</v>
      </c>
      <c r="C41" t="str">
        <v>25/12/2026</v>
      </c>
      <c r="D41" t="str">
        <v/>
      </c>
      <c r="E41" t="str">
        <v>MUITAS PARCELAS</v>
      </c>
      <c r="F41" t="str">
        <v>4 de 25</v>
      </c>
      <c r="G41" t="str">
        <v>DESPESA</v>
      </c>
      <c r="H41" t="str">
        <v/>
      </c>
      <c r="I41" t="str">
        <v/>
      </c>
      <c r="J41">
        <v>800</v>
      </c>
      <c r="K41">
        <v>0</v>
      </c>
      <c r="L41">
        <v>0</v>
      </c>
      <c r="M41">
        <v>800</v>
      </c>
    </row>
    <row r="42">
      <c r="A42" t="str">
        <v>TOTAL</v>
      </c>
      <c r="M42">
        <f>SUMIF(G2:G41,"RECEITA",M2:M41) - SUMIF(G2:G41,"DESPESA",M2:M41)</f>
      </c>
    </row>
    <row r="43">
      <c r="A43" t="str">
        <v>TOTAL RECEITA</v>
      </c>
      <c r="M43">
        <f>SUMIF(G2:G41,"RECEITA",M2:M41)</f>
      </c>
    </row>
    <row r="44">
      <c r="A44" t="str">
        <v>TOTAL DESPESA</v>
      </c>
      <c r="M44">
        <f>SUMIF(G2:G41,"DESPESA",M2:M41)</f>
      </c>
    </row>
  </sheetData>
  <ignoredErrors>
    <ignoredError numberStoredAsText="1" sqref="A1:M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